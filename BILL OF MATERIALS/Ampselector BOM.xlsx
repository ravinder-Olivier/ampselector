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 List (Mouser)" sheetId="1" r:id="rId5"/>
  </sheets>
  <definedNames/>
  <calcPr/>
</workbook>
</file>

<file path=xl/sharedStrings.xml><?xml version="1.0" encoding="utf-8"?>
<sst xmlns="http://schemas.openxmlformats.org/spreadsheetml/2006/main" count="29" uniqueCount="27">
  <si>
    <t>Category</t>
  </si>
  <si>
    <t>PART</t>
  </si>
  <si>
    <t>QUANTITY</t>
  </si>
  <si>
    <t>NOTES</t>
  </si>
  <si>
    <t>Microcontroller</t>
  </si>
  <si>
    <t>Seeed Studio XIAO RP2040</t>
  </si>
  <si>
    <t>Diodes - through hole</t>
  </si>
  <si>
    <t xml:space="preserve">1N4148 </t>
  </si>
  <si>
    <t>Display</t>
  </si>
  <si>
    <t>.91 inch oled display</t>
  </si>
  <si>
    <t>Encoder</t>
  </si>
  <si>
    <t>ec11 encoder</t>
  </si>
  <si>
    <t>Switches</t>
  </si>
  <si>
    <t>MX style keyswitches</t>
  </si>
  <si>
    <t>Keycaps</t>
  </si>
  <si>
    <t>DSA keycaps</t>
  </si>
  <si>
    <t>Heatset inserts</t>
  </si>
  <si>
    <t>M3 heatset insert</t>
  </si>
  <si>
    <t>Screws</t>
  </si>
  <si>
    <t>m3x16mm screw</t>
  </si>
  <si>
    <t>Case</t>
  </si>
  <si>
    <t xml:space="preserve">Top case </t>
  </si>
  <si>
    <t>3D PRINT</t>
  </si>
  <si>
    <t>Bottom case</t>
  </si>
  <si>
    <t>PCB</t>
  </si>
  <si>
    <t>Ampselector PCB</t>
  </si>
  <si>
    <t>Purchase Custom PCB from PCB manufacturer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</si>
</sst>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5.75"/>
    <col customWidth="1" min="3" max="3" width="13.63"/>
    <col customWidth="1" min="4" max="4" width="3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>
        <v>1.0</v>
      </c>
      <c r="D2" s="4"/>
    </row>
    <row r="3">
      <c r="A3" s="3" t="s">
        <v>6</v>
      </c>
      <c r="B3" s="3" t="s">
        <v>7</v>
      </c>
      <c r="C3" s="3">
        <v>8.0</v>
      </c>
      <c r="D3" s="5"/>
    </row>
    <row r="4">
      <c r="A4" s="3" t="s">
        <v>8</v>
      </c>
      <c r="B4" s="3" t="s">
        <v>9</v>
      </c>
      <c r="C4" s="3">
        <v>1.0</v>
      </c>
      <c r="D4" s="5"/>
    </row>
    <row r="5">
      <c r="A5" s="3" t="s">
        <v>10</v>
      </c>
      <c r="B5" s="3" t="s">
        <v>11</v>
      </c>
      <c r="C5" s="3">
        <v>2.0</v>
      </c>
      <c r="D5" s="4"/>
    </row>
    <row r="6">
      <c r="A6" s="3" t="s">
        <v>12</v>
      </c>
      <c r="B6" s="3" t="s">
        <v>13</v>
      </c>
      <c r="C6" s="3">
        <v>8.0</v>
      </c>
      <c r="D6" s="4"/>
    </row>
    <row r="7">
      <c r="A7" s="3" t="s">
        <v>14</v>
      </c>
      <c r="B7" s="3" t="s">
        <v>15</v>
      </c>
      <c r="C7" s="3">
        <v>8.0</v>
      </c>
      <c r="D7" s="4"/>
    </row>
    <row r="8">
      <c r="A8" s="3" t="s">
        <v>16</v>
      </c>
      <c r="B8" s="3" t="s">
        <v>17</v>
      </c>
      <c r="C8" s="3">
        <v>2.0</v>
      </c>
      <c r="D8" s="4"/>
    </row>
    <row r="9">
      <c r="A9" s="3" t="s">
        <v>18</v>
      </c>
      <c r="B9" s="3" t="s">
        <v>19</v>
      </c>
      <c r="C9" s="3">
        <v>2.0</v>
      </c>
      <c r="D9" s="4"/>
    </row>
    <row r="10">
      <c r="B10" s="6" t="str">
        <f>IFERROR(__xludf.DUMMYFUNCTION("IFERROR(vlookup(#REF!,IMPORTRANGE(""1GzF9JzUOziXG3pMIjM0sBI6sQD8HnWjFVb6FYuI2nUs"",$A10 &amp; ""!A2:B""), 2, false),)"),"")</f>
        <v/>
      </c>
      <c r="C10" s="6" t="str">
        <f>IFERROR(__xludf.DUMMYFUNCTION("IFERROR(vlookup(#REF!,IMPORTRANGE(""1GzF9JzUOziXG3pMIjM0sBI6sQD8HnWjFVb6FYuI2nUs"",$A10 &amp; ""!A2:C""), 3, false),)"),"")</f>
        <v/>
      </c>
      <c r="D10" s="4"/>
    </row>
    <row r="11">
      <c r="A11" s="3" t="s">
        <v>20</v>
      </c>
      <c r="B11" s="3" t="s">
        <v>21</v>
      </c>
      <c r="C11" s="3">
        <v>1.0</v>
      </c>
      <c r="D11" s="2" t="s">
        <v>22</v>
      </c>
    </row>
    <row r="12">
      <c r="A12" s="3" t="s">
        <v>20</v>
      </c>
      <c r="B12" s="3" t="s">
        <v>23</v>
      </c>
      <c r="C12" s="3">
        <v>1.0</v>
      </c>
      <c r="D12" s="2" t="s">
        <v>22</v>
      </c>
    </row>
    <row r="13">
      <c r="A13" s="3" t="s">
        <v>24</v>
      </c>
      <c r="B13" s="3" t="s">
        <v>25</v>
      </c>
      <c r="C13" s="3">
        <v>1.0</v>
      </c>
      <c r="D13" s="2" t="s">
        <v>26</v>
      </c>
    </row>
    <row r="14">
      <c r="B14" s="6" t="str">
        <f>IFERROR(__xludf.DUMMYFUNCTION("IFERROR(vlookup(#REF!,IMPORTRANGE(""1GzF9JzUOziXG3pMIjM0sBI6sQD8HnWjFVb6FYuI2nUs"",$A14 &amp; ""!A2:B""), 2, false),)"),"")</f>
        <v/>
      </c>
      <c r="C14" s="6" t="str">
        <f>IFERROR(__xludf.DUMMYFUNCTION("IFERROR(vlookup(#REF!,IMPORTRANGE(""1GzF9JzUOziXG3pMIjM0sBI6sQD8HnWjFVb6FYuI2nUs"",$A14 &amp; ""!A2:C""), 3, false),)"),"")</f>
        <v/>
      </c>
      <c r="D14" s="5"/>
    </row>
    <row r="15">
      <c r="B15" s="6" t="str">
        <f>IFERROR(__xludf.DUMMYFUNCTION("IFERROR(vlookup(#REF!,IMPORTRANGE(""1GzF9JzUOziXG3pMIjM0sBI6sQD8HnWjFVb6FYuI2nUs"",$A15 &amp; ""!A2:B""), 2, false),)"),"")</f>
        <v/>
      </c>
      <c r="C15" s="6" t="str">
        <f>IFERROR(__xludf.DUMMYFUNCTION("IFERROR(vlookup(#REF!,IMPORTRANGE(""1GzF9JzUOziXG3pMIjM0sBI6sQD8HnWjFVb6FYuI2nUs"",$A15 &amp; ""!A2:C""), 3, false),)"),"")</f>
        <v/>
      </c>
      <c r="D15" s="4"/>
    </row>
    <row r="16">
      <c r="B16" s="6" t="str">
        <f>IFERROR(__xludf.DUMMYFUNCTION("IFERROR(vlookup(#REF!,IMPORTRANGE(""1GzF9JzUOziXG3pMIjM0sBI6sQD8HnWjFVb6FYuI2nUs"",$A16 &amp; ""!A2:B""), 2, false),)"),"")</f>
        <v/>
      </c>
      <c r="C16" s="6" t="str">
        <f>IFERROR(__xludf.DUMMYFUNCTION("IFERROR(vlookup(#REF!,IMPORTRANGE(""1GzF9JzUOziXG3pMIjM0sBI6sQD8HnWjFVb6FYuI2nUs"",$A16 &amp; ""!A2:C""), 3, false),)"),"")</f>
        <v/>
      </c>
      <c r="D16" s="4"/>
    </row>
    <row r="17">
      <c r="B17" s="6" t="str">
        <f>IFERROR(__xludf.DUMMYFUNCTION("IFERROR(vlookup(#REF!,IMPORTRANGE(""1GzF9JzUOziXG3pMIjM0sBI6sQD8HnWjFVb6FYuI2nUs"",$A17 &amp; ""!A2:B""), 2, false),)"),"")</f>
        <v/>
      </c>
      <c r="C17" s="6" t="str">
        <f>IFERROR(__xludf.DUMMYFUNCTION("IFERROR(vlookup(#REF!,IMPORTRANGE(""1GzF9JzUOziXG3pMIjM0sBI6sQD8HnWjFVb6FYuI2nUs"",$A17 &amp; ""!A2:C""), 3, false),)"),"")</f>
        <v/>
      </c>
      <c r="D17" s="4"/>
    </row>
    <row r="18">
      <c r="B18" s="6" t="str">
        <f>IFERROR(__xludf.DUMMYFUNCTION("IFERROR(vlookup(#REF!,IMPORTRANGE(""1GzF9JzUOziXG3pMIjM0sBI6sQD8HnWjFVb6FYuI2nUs"",$A18 &amp; ""!A2:B""), 2, false),)"),"")</f>
        <v/>
      </c>
      <c r="C18" s="6" t="str">
        <f>IFERROR(__xludf.DUMMYFUNCTION("IFERROR(vlookup(#REF!,IMPORTRANGE(""1GzF9JzUOziXG3pMIjM0sBI6sQD8HnWjFVb6FYuI2nUs"",$A18 &amp; ""!A2:C""), 3, false),)"),"")</f>
        <v/>
      </c>
      <c r="D18" s="5"/>
    </row>
    <row r="19">
      <c r="B19" s="6" t="str">
        <f>IFERROR(__xludf.DUMMYFUNCTION("IFERROR(vlookup(#REF!,IMPORTRANGE(""1GzF9JzUOziXG3pMIjM0sBI6sQD8HnWjFVb6FYuI2nUs"",$A19 &amp; ""!A2:B""), 2, false),)"),"")</f>
        <v/>
      </c>
      <c r="C19" s="6" t="str">
        <f>IFERROR(__xludf.DUMMYFUNCTION("IFERROR(vlookup(#REF!,IMPORTRANGE(""1GzF9JzUOziXG3pMIjM0sBI6sQD8HnWjFVb6FYuI2nUs"",$A19 &amp; ""!A2:C""), 3, false),)"),"")</f>
        <v/>
      </c>
      <c r="D19" s="5"/>
    </row>
    <row r="20">
      <c r="B20" s="6" t="str">
        <f>IFERROR(__xludf.DUMMYFUNCTION("IFERROR(vlookup(#REF!,IMPORTRANGE(""1GzF9JzUOziXG3pMIjM0sBI6sQD8HnWjFVb6FYuI2nUs"",$A20 &amp; ""!A2:B""), 2, false),)"),"")</f>
        <v/>
      </c>
      <c r="C20" s="6" t="str">
        <f>IFERROR(__xludf.DUMMYFUNCTION("IFERROR(vlookup(#REF!,IMPORTRANGE(""1GzF9JzUOziXG3pMIjM0sBI6sQD8HnWjFVb6FYuI2nUs"",$A20 &amp; ""!A2:C""), 3, false),)"),"")</f>
        <v/>
      </c>
      <c r="D20" s="5"/>
    </row>
    <row r="21">
      <c r="B21" s="6" t="str">
        <f>IFERROR(__xludf.DUMMYFUNCTION("IFERROR(vlookup(#REF!,IMPORTRANGE(""1GzF9JzUOziXG3pMIjM0sBI6sQD8HnWjFVb6FYuI2nUs"",$A21 &amp; ""!A2:B""), 2, false),)"),"")</f>
        <v/>
      </c>
      <c r="C21" s="6" t="str">
        <f>IFERROR(__xludf.DUMMYFUNCTION("IFERROR(vlookup(#REF!,IMPORTRANGE(""1GzF9JzUOziXG3pMIjM0sBI6sQD8HnWjFVb6FYuI2nUs"",$A21 &amp; ""!A2:C""), 3, false),)"),"")</f>
        <v/>
      </c>
      <c r="D21" s="5"/>
    </row>
    <row r="22">
      <c r="B22" s="6" t="str">
        <f>IFERROR(__xludf.DUMMYFUNCTION("IFERROR(vlookup(#REF!,IMPORTRANGE(""1GzF9JzUOziXG3pMIjM0sBI6sQD8HnWjFVb6FYuI2nUs"",$A22 &amp; ""!A2:B""), 2, false),)"),"")</f>
        <v/>
      </c>
      <c r="C22" s="6" t="str">
        <f>IFERROR(__xludf.DUMMYFUNCTION("IFERROR(vlookup(#REF!,IMPORTRANGE(""1GzF9JzUOziXG3pMIjM0sBI6sQD8HnWjFVb6FYuI2nUs"",$A22 &amp; ""!A2:C""), 3, false),)"),"")</f>
        <v/>
      </c>
      <c r="D22" s="5"/>
    </row>
    <row r="23">
      <c r="B23" s="6" t="str">
        <f>IFERROR(__xludf.DUMMYFUNCTION("IFERROR(vlookup(#REF!,IMPORTRANGE(""1GzF9JzUOziXG3pMIjM0sBI6sQD8HnWjFVb6FYuI2nUs"",$A23 &amp; ""!A2:B""), 2, false),)"),"")</f>
        <v/>
      </c>
      <c r="C23" s="6" t="str">
        <f>IFERROR(__xludf.DUMMYFUNCTION("IFERROR(vlookup(#REF!,IMPORTRANGE(""1GzF9JzUOziXG3pMIjM0sBI6sQD8HnWjFVb6FYuI2nUs"",$A23 &amp; ""!A2:C""), 3, false),)"),"")</f>
        <v/>
      </c>
      <c r="D23" s="7"/>
    </row>
    <row r="24">
      <c r="B24" s="6" t="str">
        <f>IFERROR(__xludf.DUMMYFUNCTION("IFERROR(vlookup(#REF!,IMPORTRANGE(""1GzF9JzUOziXG3pMIjM0sBI6sQD8HnWjFVb6FYuI2nUs"",$A24 &amp; ""!A2:B""), 2, false),)"),"")</f>
        <v/>
      </c>
      <c r="C24" s="6" t="str">
        <f>IFERROR(__xludf.DUMMYFUNCTION("IFERROR(vlookup(#REF!,IMPORTRANGE(""1GzF9JzUOziXG3pMIjM0sBI6sQD8HnWjFVb6FYuI2nUs"",$A24 &amp; ""!A2:C""), 3, false),)"),"")</f>
        <v/>
      </c>
      <c r="D24" s="7"/>
    </row>
    <row r="25">
      <c r="B25" s="6" t="str">
        <f>IFERROR(__xludf.DUMMYFUNCTION("IFERROR(vlookup(#REF!,IMPORTRANGE(""1GzF9JzUOziXG3pMIjM0sBI6sQD8HnWjFVb6FYuI2nUs"",$A25 &amp; ""!A2:B""), 2, false),)"),"")</f>
        <v/>
      </c>
      <c r="C25" s="6" t="str">
        <f>IFERROR(__xludf.DUMMYFUNCTION("IFERROR(vlookup(#REF!,IMPORTRANGE(""1GzF9JzUOziXG3pMIjM0sBI6sQD8HnWjFVb6FYuI2nUs"",$A25 &amp; ""!A2:C""), 3, false),)"),"")</f>
        <v/>
      </c>
      <c r="D25" s="7"/>
    </row>
    <row r="26">
      <c r="B26" s="6" t="str">
        <f>IFERROR(__xludf.DUMMYFUNCTION("IFERROR(vlookup(#REF!,IMPORTRANGE(""1GzF9JzUOziXG3pMIjM0sBI6sQD8HnWjFVb6FYuI2nUs"",$A26 &amp; ""!A2:B""), 2, false),)"),"")</f>
        <v/>
      </c>
      <c r="C26" s="6" t="str">
        <f>IFERROR(__xludf.DUMMYFUNCTION("IFERROR(vlookup(#REF!,IMPORTRANGE(""1GzF9JzUOziXG3pMIjM0sBI6sQD8HnWjFVb6FYuI2nUs"",$A26 &amp; ""!A2:C""), 3, false),)"),"")</f>
        <v/>
      </c>
      <c r="D26" s="7"/>
    </row>
    <row r="27">
      <c r="B27" s="6" t="str">
        <f>IFERROR(__xludf.DUMMYFUNCTION("IFERROR(vlookup(#REF!,IMPORTRANGE(""1GzF9JzUOziXG3pMIjM0sBI6sQD8HnWjFVb6FYuI2nUs"",$A27 &amp; ""!A2:B""), 2, false),)"),"")</f>
        <v/>
      </c>
      <c r="C27" s="6" t="str">
        <f>IFERROR(__xludf.DUMMYFUNCTION("IFERROR(vlookup(#REF!,IMPORTRANGE(""1GzF9JzUOziXG3pMIjM0sBI6sQD8HnWjFVb6FYuI2nUs"",$A27 &amp; ""!A2:C""), 3, false),)"),"")</f>
        <v/>
      </c>
      <c r="D27" s="7"/>
    </row>
    <row r="28">
      <c r="B28" s="6" t="str">
        <f>IFERROR(__xludf.DUMMYFUNCTION("IFERROR(vlookup(#REF!,IMPORTRANGE(""1GzF9JzUOziXG3pMIjM0sBI6sQD8HnWjFVb6FYuI2nUs"",$A28 &amp; ""!A2:B""), 2, false),)"),"")</f>
        <v/>
      </c>
      <c r="C28" s="6" t="str">
        <f>IFERROR(__xludf.DUMMYFUNCTION("IFERROR(vlookup(#REF!,IMPORTRANGE(""1GzF9JzUOziXG3pMIjM0sBI6sQD8HnWjFVb6FYuI2nUs"",$A28 &amp; ""!A2:C""), 3, false),)"),"")</f>
        <v/>
      </c>
      <c r="D28" s="7"/>
    </row>
    <row r="29">
      <c r="B29" s="6" t="str">
        <f>IFERROR(__xludf.DUMMYFUNCTION("IFERROR(vlookup(#REF!,IMPORTRANGE(""1GzF9JzUOziXG3pMIjM0sBI6sQD8HnWjFVb6FYuI2nUs"",$A29 &amp; ""!A2:B""), 2, false),)"),"")</f>
        <v/>
      </c>
      <c r="C29" s="6" t="str">
        <f>IFERROR(__xludf.DUMMYFUNCTION("IFERROR(vlookup(#REF!,IMPORTRANGE(""1GzF9JzUOziXG3pMIjM0sBI6sQD8HnWjFVb6FYuI2nUs"",$A29 &amp; ""!A2:C""), 3, false),)"),"")</f>
        <v/>
      </c>
      <c r="D29" s="4"/>
    </row>
    <row r="30">
      <c r="B30" s="6" t="str">
        <f>IFERROR(__xludf.DUMMYFUNCTION("IFERROR(vlookup(#REF!,IMPORTRANGE(""1GzF9JzUOziXG3pMIjM0sBI6sQD8HnWjFVb6FYuI2nUs"",$A30 &amp; ""!A2:B""), 2, false),)"),"")</f>
        <v/>
      </c>
      <c r="C30" s="6" t="str">
        <f>IFERROR(__xludf.DUMMYFUNCTION("IFERROR(vlookup(#REF!,IMPORTRANGE(""1GzF9JzUOziXG3pMIjM0sBI6sQD8HnWjFVb6FYuI2nUs"",$A30 &amp; ""!A2:C""), 3, false),)"),"")</f>
        <v/>
      </c>
      <c r="D30" s="4"/>
    </row>
    <row r="31">
      <c r="B31" s="6" t="str">
        <f>IFERROR(__xludf.DUMMYFUNCTION("IFERROR(vlookup(#REF!,IMPORTRANGE(""1GzF9JzUOziXG3pMIjM0sBI6sQD8HnWjFVb6FYuI2nUs"",$A31 &amp; ""!A2:B""), 2, false),)"),"")</f>
        <v/>
      </c>
      <c r="C31" s="6" t="str">
        <f>IFERROR(__xludf.DUMMYFUNCTION("IFERROR(vlookup(#REF!,IMPORTRANGE(""1GzF9JzUOziXG3pMIjM0sBI6sQD8HnWjFVb6FYuI2nUs"",$A31 &amp; ""!A2:C""), 3, false),)"),"")</f>
        <v/>
      </c>
      <c r="D31" s="4"/>
    </row>
    <row r="32">
      <c r="B32" s="6" t="str">
        <f>IFERROR(__xludf.DUMMYFUNCTION("IFERROR(vlookup(#REF!,IMPORTRANGE(""1GzF9JzUOziXG3pMIjM0sBI6sQD8HnWjFVb6FYuI2nUs"",$A32 &amp; ""!A2:B""), 2, false),)"),"")</f>
        <v/>
      </c>
      <c r="C32" s="6" t="str">
        <f>IFERROR(__xludf.DUMMYFUNCTION("IFERROR(vlookup(#REF!,IMPORTRANGE(""1GzF9JzUOziXG3pMIjM0sBI6sQD8HnWjFVb6FYuI2nUs"",$A32 &amp; ""!A2:C""), 3, false),)"),"")</f>
        <v/>
      </c>
      <c r="D32" s="7"/>
    </row>
    <row r="33">
      <c r="B33" s="6" t="str">
        <f>IFERROR(__xludf.DUMMYFUNCTION("IFERROR(vlookup(#REF!,IMPORTRANGE(""1GzF9JzUOziXG3pMIjM0sBI6sQD8HnWjFVb6FYuI2nUs"",$A33 &amp; ""!A2:B""), 2, false),)"),"")</f>
        <v/>
      </c>
      <c r="C33" s="6" t="str">
        <f>IFERROR(__xludf.DUMMYFUNCTION("IFERROR(vlookup(#REF!,IMPORTRANGE(""1GzF9JzUOziXG3pMIjM0sBI6sQD8HnWjFVb6FYuI2nUs"",$A33 &amp; ""!A2:C""), 3, false),)"),"")</f>
        <v/>
      </c>
      <c r="D33" s="4"/>
    </row>
    <row r="34">
      <c r="B34" s="6" t="str">
        <f>IFERROR(__xludf.DUMMYFUNCTION("IFERROR(vlookup(#REF!,IMPORTRANGE(""1GzF9JzUOziXG3pMIjM0sBI6sQD8HnWjFVb6FYuI2nUs"",$A34 &amp; ""!A2:B""), 2, false),)"),"")</f>
        <v/>
      </c>
      <c r="C34" s="6" t="str">
        <f>IFERROR(__xludf.DUMMYFUNCTION("IFERROR(vlookup(#REF!,IMPORTRANGE(""1GzF9JzUOziXG3pMIjM0sBI6sQD8HnWjFVb6FYuI2nUs"",$A34 &amp; ""!A2:C""), 3, false),)"),"")</f>
        <v/>
      </c>
      <c r="D34" s="8"/>
    </row>
    <row r="35">
      <c r="B35" s="6" t="str">
        <f>IFERROR(__xludf.DUMMYFUNCTION("IFERROR(vlookup(#REF!,IMPORTRANGE(""1GzF9JzUOziXG3pMIjM0sBI6sQD8HnWjFVb6FYuI2nUs"",$A35 &amp; ""!A2:B""), 2, false),)"),"")</f>
        <v/>
      </c>
      <c r="C35" s="6" t="str">
        <f>IFERROR(__xludf.DUMMYFUNCTION("IFERROR(vlookup(#REF!,IMPORTRANGE(""1GzF9JzUOziXG3pMIjM0sBI6sQD8HnWjFVb6FYuI2nUs"",$A35 &amp; ""!A2:C""), 3, false),)"),"")</f>
        <v/>
      </c>
      <c r="D35" s="5"/>
    </row>
    <row r="36">
      <c r="B36" s="6" t="str">
        <f>IFERROR(__xludf.DUMMYFUNCTION("IFERROR(vlookup(#REF!,IMPORTRANGE(""1GzF9JzUOziXG3pMIjM0sBI6sQD8HnWjFVb6FYuI2nUs"",$A36 &amp; ""!A2:B""), 2, false),)"),"")</f>
        <v/>
      </c>
      <c r="C36" s="6" t="str">
        <f>IFERROR(__xludf.DUMMYFUNCTION("IFERROR(vlookup(#REF!,IMPORTRANGE(""1GzF9JzUOziXG3pMIjM0sBI6sQD8HnWjFVb6FYuI2nUs"",$A36 &amp; ""!A2:C""), 3, false),)"),"")</f>
        <v/>
      </c>
      <c r="D36" s="7"/>
    </row>
    <row r="37">
      <c r="B37" s="6" t="str">
        <f>IFERROR(__xludf.DUMMYFUNCTION("IFERROR(vlookup(#REF!,IMPORTRANGE(""1GzF9JzUOziXG3pMIjM0sBI6sQD8HnWjFVb6FYuI2nUs"",$A37 &amp; ""!A2:B""), 2, false),)"),"")</f>
        <v/>
      </c>
      <c r="C37" s="6" t="str">
        <f>IFERROR(__xludf.DUMMYFUNCTION("IFERROR(vlookup(#REF!,IMPORTRANGE(""1GzF9JzUOziXG3pMIjM0sBI6sQD8HnWjFVb6FYuI2nUs"",$A37 &amp; ""!A2:C""), 3, false),)"),"")</f>
        <v/>
      </c>
      <c r="D37" s="5"/>
    </row>
    <row r="38">
      <c r="B38" s="6" t="str">
        <f>IFERROR(__xludf.DUMMYFUNCTION("IFERROR(vlookup(#REF!,IMPORTRANGE(""1GzF9JzUOziXG3pMIjM0sBI6sQD8HnWjFVb6FYuI2nUs"",$A38 &amp; ""!A2:B""), 2, false),)"),"")</f>
        <v/>
      </c>
      <c r="C38" s="6" t="str">
        <f>IFERROR(__xludf.DUMMYFUNCTION("IFERROR(vlookup(#REF!,IMPORTRANGE(""1GzF9JzUOziXG3pMIjM0sBI6sQD8HnWjFVb6FYuI2nUs"",$A38 &amp; ""!A2:C""), 3, false),)"),"")</f>
        <v/>
      </c>
      <c r="D38" s="5"/>
    </row>
    <row r="39">
      <c r="B39" s="6" t="str">
        <f>IFERROR(__xludf.DUMMYFUNCTION("IFERROR(vlookup(#REF!,IMPORTRANGE(""1GzF9JzUOziXG3pMIjM0sBI6sQD8HnWjFVb6FYuI2nUs"",$A39 &amp; ""!A2:B""), 2, false),)"),"")</f>
        <v/>
      </c>
      <c r="C39" s="6" t="str">
        <f>IFERROR(__xludf.DUMMYFUNCTION("IFERROR(vlookup(#REF!,IMPORTRANGE(""1GzF9JzUOziXG3pMIjM0sBI6sQD8HnWjFVb6FYuI2nUs"",$A39 &amp; ""!A2:C""), 3, false),)"),"")</f>
        <v/>
      </c>
      <c r="D39" s="5"/>
    </row>
    <row r="40">
      <c r="A40" s="9"/>
      <c r="B40" s="6" t="str">
        <f>IFERROR(__xludf.DUMMYFUNCTION("IFERROR(vlookup(#REF!,IMPORTRANGE(""1GzF9JzUOziXG3pMIjM0sBI6sQD8HnWjFVb6FYuI2nUs"",$A40 &amp; ""!A2:B""), 2, false),)"),"")</f>
        <v/>
      </c>
      <c r="C40" s="6" t="str">
        <f>IFERROR(__xludf.DUMMYFUNCTION("IFERROR(vlookup(#REF!,IMPORTRANGE(""1GzF9JzUOziXG3pMIjM0sBI6sQD8HnWjFVb6FYuI2nUs"",$A40 &amp; ""!A2:C""), 3, false),)"),"")</f>
        <v/>
      </c>
      <c r="D40" s="5"/>
    </row>
    <row r="41">
      <c r="A41" s="9"/>
      <c r="B41" s="6" t="str">
        <f>IFERROR(__xludf.DUMMYFUNCTION("IFERROR(vlookup(#REF!,IMPORTRANGE(""1GzF9JzUOziXG3pMIjM0sBI6sQD8HnWjFVb6FYuI2nUs"",$A41 &amp; ""!A2:B""), 2, false),)"),"")</f>
        <v/>
      </c>
      <c r="C41" s="6" t="str">
        <f>IFERROR(__xludf.DUMMYFUNCTION("IFERROR(vlookup(#REF!,IMPORTRANGE(""1GzF9JzUOziXG3pMIjM0sBI6sQD8HnWjFVb6FYuI2nUs"",$A41 &amp; ""!A2:C""), 3, false),)"),"")</f>
        <v/>
      </c>
      <c r="D41" s="5"/>
    </row>
    <row r="42">
      <c r="A42" s="9"/>
      <c r="B42" s="6" t="str">
        <f>IFERROR(__xludf.DUMMYFUNCTION("IFERROR(vlookup(#REF!,IMPORTRANGE(""1GzF9JzUOziXG3pMIjM0sBI6sQD8HnWjFVb6FYuI2nUs"",$A42 &amp; ""!A2:B""), 2, false),)"),"")</f>
        <v/>
      </c>
      <c r="C42" s="6" t="str">
        <f>IFERROR(__xludf.DUMMYFUNCTION("IFERROR(vlookup(#REF!,IMPORTRANGE(""1GzF9JzUOziXG3pMIjM0sBI6sQD8HnWjFVb6FYuI2nUs"",$A42 &amp; ""!A2:C""), 3, false),)"),"")</f>
        <v/>
      </c>
      <c r="D42" s="5"/>
    </row>
    <row r="43">
      <c r="A43" s="9"/>
      <c r="B43" s="6" t="str">
        <f>IFERROR(__xludf.DUMMYFUNCTION("IFERROR(vlookup(#REF!,IMPORTRANGE(""1GzF9JzUOziXG3pMIjM0sBI6sQD8HnWjFVb6FYuI2nUs"",$A43 &amp; ""!A2:B""), 2, false),)"),"")</f>
        <v/>
      </c>
      <c r="C43" s="6" t="str">
        <f>IFERROR(__xludf.DUMMYFUNCTION("IFERROR(vlookup(#REF!,IMPORTRANGE(""1GzF9JzUOziXG3pMIjM0sBI6sQD8HnWjFVb6FYuI2nUs"",$A43 &amp; ""!A2:C""), 3, false),)"),"")</f>
        <v/>
      </c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A757" s="9"/>
      <c r="D757" s="5"/>
    </row>
  </sheetData>
  <printOptions gridLines="1" horizontalCentered="1"/>
  <pageMargins bottom="0.5" footer="0.0" header="0.0" left="0.25" right="0.25" top="0.5"/>
  <pageSetup fitToHeight="0" cellComments="atEnd" orientation="landscape" pageOrder="overThenDown"/>
  <drawing r:id="rId1"/>
</worksheet>
</file>